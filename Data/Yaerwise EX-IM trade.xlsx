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"/>
    </mc:Choice>
  </mc:AlternateContent>
  <xr:revisionPtr revIDLastSave="0" documentId="13_ncr:1_{A2CB6C37-2025-4D26-8149-C92A8527977A}" xr6:coauthVersionLast="47" xr6:coauthVersionMax="47" xr10:uidLastSave="{00000000-0000-0000-0000-000000000000}"/>
  <bookViews>
    <workbookView xWindow="-108" yWindow="-108" windowWidth="23256" windowHeight="12456" xr2:uid="{5CC3B4EC-598B-4DE0-9205-A59E119A67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P26" i="1"/>
  <c r="N26" i="1"/>
  <c r="L26" i="1"/>
  <c r="J26" i="1"/>
  <c r="H26" i="1"/>
  <c r="F26" i="1"/>
  <c r="D26" i="1"/>
  <c r="Q26" i="1"/>
  <c r="O26" i="1"/>
  <c r="M26" i="1"/>
  <c r="K26" i="1"/>
  <c r="I26" i="1"/>
  <c r="G26" i="1"/>
  <c r="E26" i="1"/>
  <c r="C26" i="1"/>
  <c r="R24" i="1"/>
  <c r="P24" i="1"/>
  <c r="N24" i="1"/>
  <c r="L24" i="1"/>
  <c r="J24" i="1"/>
  <c r="H24" i="1"/>
  <c r="F24" i="1"/>
  <c r="D24" i="1"/>
  <c r="Q24" i="1"/>
  <c r="O24" i="1"/>
  <c r="M24" i="1"/>
  <c r="K24" i="1"/>
  <c r="I24" i="1"/>
  <c r="G24" i="1"/>
  <c r="E24" i="1"/>
  <c r="C24" i="1"/>
  <c r="R23" i="1"/>
  <c r="P23" i="1"/>
  <c r="N23" i="1"/>
  <c r="L23" i="1"/>
  <c r="J23" i="1"/>
  <c r="H23" i="1"/>
  <c r="F23" i="1"/>
  <c r="D23" i="1"/>
  <c r="Q23" i="1"/>
  <c r="O23" i="1"/>
  <c r="M23" i="1"/>
  <c r="K23" i="1"/>
  <c r="I23" i="1"/>
  <c r="G23" i="1"/>
  <c r="E23" i="1"/>
  <c r="C23" i="1"/>
  <c r="R21" i="1"/>
  <c r="P21" i="1"/>
  <c r="N21" i="1"/>
  <c r="L21" i="1"/>
  <c r="J21" i="1"/>
  <c r="H21" i="1"/>
  <c r="F21" i="1"/>
  <c r="D21" i="1"/>
  <c r="Q21" i="1"/>
  <c r="O21" i="1"/>
  <c r="M21" i="1"/>
  <c r="K21" i="1"/>
  <c r="I21" i="1"/>
  <c r="G21" i="1"/>
  <c r="E21" i="1"/>
  <c r="C21" i="1"/>
  <c r="R19" i="1"/>
  <c r="P19" i="1"/>
  <c r="N19" i="1"/>
  <c r="L19" i="1"/>
  <c r="J19" i="1"/>
  <c r="H19" i="1"/>
  <c r="F19" i="1"/>
  <c r="D19" i="1"/>
  <c r="Q19" i="1"/>
  <c r="O19" i="1"/>
  <c r="M19" i="1"/>
  <c r="K19" i="1"/>
  <c r="I19" i="1"/>
  <c r="G19" i="1"/>
  <c r="E19" i="1"/>
  <c r="C19" i="1"/>
  <c r="R18" i="1"/>
  <c r="P18" i="1"/>
  <c r="N18" i="1"/>
  <c r="L18" i="1"/>
  <c r="J18" i="1"/>
  <c r="H18" i="1"/>
  <c r="F18" i="1"/>
  <c r="D18" i="1"/>
  <c r="Q18" i="1"/>
  <c r="O18" i="1"/>
  <c r="M18" i="1"/>
  <c r="K18" i="1"/>
  <c r="I18" i="1"/>
  <c r="G18" i="1"/>
  <c r="E18" i="1"/>
  <c r="C18" i="1"/>
  <c r="R17" i="1"/>
  <c r="P17" i="1"/>
  <c r="N17" i="1"/>
  <c r="L17" i="1"/>
  <c r="J17" i="1"/>
  <c r="H17" i="1"/>
  <c r="F17" i="1"/>
  <c r="D17" i="1"/>
  <c r="Q17" i="1"/>
  <c r="O17" i="1"/>
  <c r="M17" i="1"/>
  <c r="K17" i="1"/>
  <c r="I17" i="1"/>
  <c r="G17" i="1"/>
  <c r="E17" i="1"/>
  <c r="C17" i="1"/>
  <c r="R15" i="1"/>
  <c r="P15" i="1"/>
  <c r="N15" i="1"/>
  <c r="L15" i="1"/>
  <c r="J15" i="1"/>
  <c r="H15" i="1"/>
  <c r="F15" i="1"/>
  <c r="D15" i="1"/>
  <c r="Q15" i="1"/>
  <c r="O15" i="1"/>
  <c r="M15" i="1"/>
  <c r="K15" i="1"/>
  <c r="I15" i="1"/>
  <c r="G15" i="1"/>
  <c r="E15" i="1"/>
  <c r="C15" i="1"/>
  <c r="R14" i="1"/>
  <c r="P14" i="1"/>
  <c r="N14" i="1"/>
  <c r="L14" i="1"/>
  <c r="J14" i="1"/>
  <c r="H14" i="1"/>
  <c r="F14" i="1"/>
  <c r="D14" i="1"/>
  <c r="E14" i="1"/>
  <c r="C14" i="1"/>
  <c r="G14" i="1"/>
  <c r="K14" i="1"/>
  <c r="M14" i="1"/>
  <c r="O14" i="1"/>
  <c r="Q14" i="1"/>
  <c r="R13" i="1"/>
  <c r="P13" i="1"/>
  <c r="N13" i="1"/>
  <c r="L13" i="1"/>
  <c r="J13" i="1"/>
  <c r="H13" i="1"/>
  <c r="F13" i="1"/>
  <c r="D13" i="1"/>
  <c r="Q13" i="1"/>
  <c r="O13" i="1"/>
  <c r="M13" i="1"/>
  <c r="K13" i="1"/>
  <c r="I13" i="1"/>
  <c r="G13" i="1"/>
  <c r="E13" i="1"/>
  <c r="C13" i="1"/>
  <c r="R12" i="1"/>
  <c r="P12" i="1"/>
  <c r="N12" i="1"/>
  <c r="L12" i="1"/>
  <c r="J12" i="1"/>
  <c r="H12" i="1"/>
  <c r="F12" i="1"/>
  <c r="D12" i="1"/>
  <c r="Q12" i="1"/>
  <c r="O12" i="1"/>
  <c r="M12" i="1"/>
  <c r="K12" i="1"/>
  <c r="I12" i="1"/>
  <c r="G12" i="1"/>
  <c r="E12" i="1"/>
  <c r="C12" i="1"/>
  <c r="R10" i="1"/>
  <c r="P10" i="1"/>
  <c r="N10" i="1"/>
  <c r="L10" i="1"/>
  <c r="J10" i="1"/>
  <c r="H10" i="1"/>
  <c r="F10" i="1"/>
  <c r="D10" i="1"/>
  <c r="Q10" i="1"/>
  <c r="O10" i="1"/>
  <c r="M10" i="1"/>
  <c r="K10" i="1"/>
  <c r="I10" i="1"/>
  <c r="G10" i="1"/>
  <c r="E10" i="1"/>
  <c r="C10" i="1"/>
  <c r="R9" i="1"/>
  <c r="P9" i="1"/>
  <c r="N9" i="1"/>
  <c r="L9" i="1"/>
  <c r="J9" i="1"/>
  <c r="H9" i="1"/>
  <c r="F9" i="1"/>
  <c r="D9" i="1"/>
  <c r="Q9" i="1"/>
  <c r="O9" i="1"/>
  <c r="M9" i="1"/>
  <c r="K9" i="1"/>
  <c r="I9" i="1"/>
  <c r="G9" i="1"/>
  <c r="E9" i="1"/>
  <c r="C9" i="1"/>
  <c r="Q8" i="1"/>
  <c r="O8" i="1"/>
  <c r="M8" i="1"/>
  <c r="K8" i="1"/>
  <c r="I8" i="1"/>
  <c r="G8" i="1"/>
  <c r="E8" i="1"/>
  <c r="C8" i="1"/>
  <c r="R8" i="1"/>
  <c r="P8" i="1"/>
  <c r="N8" i="1"/>
  <c r="L8" i="1"/>
  <c r="J8" i="1"/>
  <c r="H8" i="1"/>
  <c r="F8" i="1"/>
  <c r="D8" i="1"/>
  <c r="R6" i="1"/>
  <c r="P6" i="1"/>
  <c r="N6" i="1"/>
  <c r="L6" i="1"/>
  <c r="J6" i="1"/>
  <c r="H6" i="1"/>
  <c r="F6" i="1"/>
  <c r="D6" i="1"/>
  <c r="Q6" i="1"/>
  <c r="O6" i="1"/>
  <c r="M6" i="1"/>
  <c r="K6" i="1"/>
  <c r="I6" i="1"/>
  <c r="G6" i="1"/>
  <c r="E6" i="1"/>
  <c r="C6" i="1"/>
</calcChain>
</file>

<file path=xl/sharedStrings.xml><?xml version="1.0" encoding="utf-8"?>
<sst xmlns="http://schemas.openxmlformats.org/spreadsheetml/2006/main" count="50" uniqueCount="38">
  <si>
    <t>Year(2017-2018)</t>
  </si>
  <si>
    <t>2018-19</t>
  </si>
  <si>
    <t>2019-2020</t>
  </si>
  <si>
    <t>2020-21</t>
  </si>
  <si>
    <t>2021-22</t>
  </si>
  <si>
    <t>2022-23</t>
  </si>
  <si>
    <t>2023-24</t>
  </si>
  <si>
    <t>2024-25</t>
  </si>
  <si>
    <t>Critical Mineral</t>
  </si>
  <si>
    <t>Export($ million)</t>
  </si>
  <si>
    <t>Imort</t>
  </si>
  <si>
    <t>Import</t>
  </si>
  <si>
    <t>Export</t>
  </si>
  <si>
    <t>Antimony</t>
  </si>
  <si>
    <t>Beryllium,hafnium, indium,gallium,rhenium</t>
  </si>
  <si>
    <t>Bismuth</t>
  </si>
  <si>
    <t>Cobalt</t>
  </si>
  <si>
    <t>Germanium</t>
  </si>
  <si>
    <t>Graphite</t>
  </si>
  <si>
    <t>Lithium</t>
  </si>
  <si>
    <t>Molybdenum</t>
  </si>
  <si>
    <t>Niobium</t>
  </si>
  <si>
    <t>Nickel</t>
  </si>
  <si>
    <t>Silicon</t>
  </si>
  <si>
    <t>Strontium</t>
  </si>
  <si>
    <t>Tantalum</t>
  </si>
  <si>
    <t>Tellurium</t>
  </si>
  <si>
    <t>Tin</t>
  </si>
  <si>
    <t>Titanium</t>
  </si>
  <si>
    <t>Tungsten</t>
  </si>
  <si>
    <t>Vanadium</t>
  </si>
  <si>
    <t>Zirconium</t>
  </si>
  <si>
    <t>Selenium</t>
  </si>
  <si>
    <t>Cadmium</t>
  </si>
  <si>
    <t>Phosphorous</t>
  </si>
  <si>
    <t>Potash</t>
  </si>
  <si>
    <t>Rare earth metals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</si>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</sst>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1EFE-80A3-4B29-8268-9AE417EC956B}">
  <dimension ref="B1:R27"/>
  <sheetViews>
    <sheetView tabSelected="1" workbookViewId="0">
      <selection activeCell="H30" sqref="H30"/>
    </sheetView>
  </sheetViews>
  <sheetFormatPr defaultRowHeight="14.4" x14ac:dyDescent="0.3"/>
  <cols>
    <col min="2" max="2" width="16.33203125" customWidth="1"/>
    <col min="3" max="3" width="15.88671875" customWidth="1"/>
  </cols>
  <sheetData>
    <row r="1" spans="2:18" x14ac:dyDescent="0.3">
      <c r="C1" s="1" t="s">
        <v>0</v>
      </c>
      <c r="D1" s="1"/>
      <c r="E1" s="1" t="s">
        <v>1</v>
      </c>
      <c r="F1" s="1"/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 t="s">
        <v>7</v>
      </c>
      <c r="R1" s="1"/>
    </row>
    <row r="2" spans="2:18" x14ac:dyDescent="0.3"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t="s">
        <v>11</v>
      </c>
      <c r="O2" t="s">
        <v>12</v>
      </c>
      <c r="P2" t="s">
        <v>11</v>
      </c>
      <c r="Q2" t="s">
        <v>12</v>
      </c>
      <c r="R2" t="s">
        <v>11</v>
      </c>
    </row>
    <row r="3" spans="2:18" x14ac:dyDescent="0.3">
      <c r="B3" t="s">
        <v>13</v>
      </c>
      <c r="C3">
        <v>15.06</v>
      </c>
      <c r="D3">
        <v>11.44</v>
      </c>
      <c r="E3">
        <v>17.87</v>
      </c>
      <c r="F3">
        <v>9.67</v>
      </c>
      <c r="G3">
        <v>13.08</v>
      </c>
      <c r="H3">
        <v>9.3699999999999992</v>
      </c>
      <c r="I3">
        <v>12.63</v>
      </c>
      <c r="J3">
        <v>8.01</v>
      </c>
      <c r="K3">
        <v>20.260000000000002</v>
      </c>
      <c r="L3">
        <v>13.38</v>
      </c>
      <c r="M3">
        <v>19.32</v>
      </c>
      <c r="N3">
        <v>19.190000000000001</v>
      </c>
      <c r="O3">
        <v>15.94</v>
      </c>
      <c r="P3">
        <v>19.739999999999998</v>
      </c>
      <c r="Q3">
        <v>40.9</v>
      </c>
      <c r="R3">
        <v>38.159999999999997</v>
      </c>
    </row>
    <row r="4" spans="2:18" x14ac:dyDescent="0.3">
      <c r="B4" t="s">
        <v>14</v>
      </c>
      <c r="C4">
        <v>0.57999999999999996</v>
      </c>
      <c r="D4">
        <v>24.65</v>
      </c>
      <c r="E4">
        <v>0.9</v>
      </c>
      <c r="F4">
        <v>35.75</v>
      </c>
      <c r="G4">
        <v>1.87</v>
      </c>
      <c r="H4">
        <v>19.62</v>
      </c>
      <c r="I4">
        <v>1.62</v>
      </c>
      <c r="J4">
        <v>17.579999999999998</v>
      </c>
      <c r="K4">
        <v>3.28</v>
      </c>
      <c r="L4">
        <v>29.12</v>
      </c>
      <c r="M4">
        <v>2.2599999999999998</v>
      </c>
      <c r="N4">
        <v>71.430000000000007</v>
      </c>
      <c r="O4">
        <v>3.05</v>
      </c>
      <c r="P4">
        <v>76.31</v>
      </c>
      <c r="Q4">
        <v>5.52</v>
      </c>
      <c r="R4">
        <v>76.930000000000007</v>
      </c>
    </row>
    <row r="5" spans="2:18" x14ac:dyDescent="0.3">
      <c r="B5" t="s">
        <v>15</v>
      </c>
      <c r="C5">
        <v>7.0000000000000007E-2</v>
      </c>
      <c r="D5">
        <v>3.19</v>
      </c>
      <c r="E5">
        <v>0.01</v>
      </c>
      <c r="F5">
        <v>2.77</v>
      </c>
      <c r="G5">
        <v>0.01</v>
      </c>
      <c r="H5">
        <v>1.53</v>
      </c>
      <c r="I5">
        <v>0.03</v>
      </c>
      <c r="J5">
        <v>1.83</v>
      </c>
      <c r="K5">
        <v>0.61</v>
      </c>
      <c r="L5">
        <v>2.54</v>
      </c>
      <c r="M5">
        <v>0.12</v>
      </c>
      <c r="N5">
        <v>3.34</v>
      </c>
      <c r="O5">
        <v>0.02</v>
      </c>
      <c r="P5">
        <v>3.19</v>
      </c>
      <c r="Q5">
        <v>0.03</v>
      </c>
      <c r="R5">
        <v>5.55</v>
      </c>
    </row>
    <row r="6" spans="2:18" x14ac:dyDescent="0.3">
      <c r="B6" t="s">
        <v>16</v>
      </c>
      <c r="C6">
        <f>0+0.47+3.46</f>
        <v>3.9299999999999997</v>
      </c>
      <c r="D6">
        <f>0+5.93+53.06</f>
        <v>58.99</v>
      </c>
      <c r="E6">
        <f>0.06+1.69+6.15</f>
        <v>7.9</v>
      </c>
      <c r="F6">
        <f>0.06+7.53+68.21</f>
        <v>75.8</v>
      </c>
      <c r="G6">
        <f>0.13+0.36+3.11</f>
        <v>3.5999999999999996</v>
      </c>
      <c r="H6">
        <f>0.13+7.6+59.52</f>
        <v>67.25</v>
      </c>
      <c r="I6">
        <f>0+1.57+4.97</f>
        <v>6.54</v>
      </c>
      <c r="J6">
        <f>0+5.56+39.21</f>
        <v>44.77</v>
      </c>
      <c r="K6">
        <f>0+1.86+11.96</f>
        <v>13.82</v>
      </c>
      <c r="L6">
        <f>0.09+10.04+78.36</f>
        <v>88.49</v>
      </c>
      <c r="M6">
        <f>0+0.72+27.57</f>
        <v>28.29</v>
      </c>
      <c r="N6">
        <f>0.02+15.66+94.82</f>
        <v>110.5</v>
      </c>
      <c r="O6">
        <f>0+1.44+21.4</f>
        <v>22.84</v>
      </c>
      <c r="P6">
        <f>0.01+11.59+101.58</f>
        <v>113.17999999999999</v>
      </c>
      <c r="Q6">
        <f>0+1.61+16.83</f>
        <v>18.439999999999998</v>
      </c>
      <c r="R6">
        <f>0.12+9.56+86.42</f>
        <v>96.1</v>
      </c>
    </row>
    <row r="7" spans="2:18" x14ac:dyDescent="0.3">
      <c r="B7" t="s">
        <v>17</v>
      </c>
      <c r="C7">
        <v>0</v>
      </c>
      <c r="D7">
        <v>0.01</v>
      </c>
      <c r="E7">
        <v>0</v>
      </c>
      <c r="F7">
        <v>0.04</v>
      </c>
      <c r="G7">
        <v>0</v>
      </c>
      <c r="H7">
        <v>0.03</v>
      </c>
      <c r="I7">
        <v>0</v>
      </c>
      <c r="J7">
        <v>0.12</v>
      </c>
      <c r="K7">
        <v>0</v>
      </c>
      <c r="L7">
        <v>0.06</v>
      </c>
      <c r="M7">
        <v>0</v>
      </c>
      <c r="N7">
        <v>0.04</v>
      </c>
      <c r="O7">
        <v>0</v>
      </c>
      <c r="P7">
        <v>0.08</v>
      </c>
      <c r="Q7">
        <v>0</v>
      </c>
      <c r="R7">
        <v>0.01</v>
      </c>
    </row>
    <row r="8" spans="2:18" x14ac:dyDescent="0.3">
      <c r="B8" t="s">
        <v>18</v>
      </c>
      <c r="C8">
        <f>33.14+6.87</f>
        <v>40.01</v>
      </c>
      <c r="D8">
        <f>96.96+23.08</f>
        <v>120.03999999999999</v>
      </c>
      <c r="E8">
        <f>53.65+0.76</f>
        <v>54.41</v>
      </c>
      <c r="F8">
        <f>95.92+33.23</f>
        <v>129.15</v>
      </c>
      <c r="G8">
        <f>50.14+0.46</f>
        <v>50.6</v>
      </c>
      <c r="H8">
        <f>68.91+26.38</f>
        <v>95.289999999999992</v>
      </c>
      <c r="I8">
        <f>38.04+0.58</f>
        <v>38.619999999999997</v>
      </c>
      <c r="J8">
        <f>73.27+24.38</f>
        <v>97.649999999999991</v>
      </c>
      <c r="K8">
        <f>54.84+0.63</f>
        <v>55.470000000000006</v>
      </c>
      <c r="L8">
        <f>109.09+35.55</f>
        <v>144.63999999999999</v>
      </c>
      <c r="M8">
        <f>51.55+1.49</f>
        <v>53.04</v>
      </c>
      <c r="N8">
        <f>149.01+36.59</f>
        <v>185.6</v>
      </c>
      <c r="O8">
        <f>59.19+0.77</f>
        <v>59.96</v>
      </c>
      <c r="P8">
        <f>154.63+10.9</f>
        <v>165.53</v>
      </c>
      <c r="Q8">
        <f>60.43+1.9</f>
        <v>62.33</v>
      </c>
      <c r="R8">
        <f>127.62+19.21</f>
        <v>146.83000000000001</v>
      </c>
    </row>
    <row r="9" spans="2:18" x14ac:dyDescent="0.3">
      <c r="B9" t="s">
        <v>19</v>
      </c>
      <c r="C9">
        <f>2.48+2.32+5.49+2.4</f>
        <v>12.69</v>
      </c>
      <c r="D9">
        <f>12.97+179.64+547.6+39.34</f>
        <v>779.55000000000007</v>
      </c>
      <c r="E9">
        <f>2.72+1.13+6.43+2.93</f>
        <v>13.209999999999999</v>
      </c>
      <c r="F9">
        <f>15.48+29.07+1225.87+31.61</f>
        <v>1302.0299999999997</v>
      </c>
      <c r="G9">
        <f>1.64+1.65+9.68+1.5</f>
        <v>14.469999999999999</v>
      </c>
      <c r="H9">
        <f>11.21+20.77+1246.22+18.61</f>
        <v>1296.81</v>
      </c>
      <c r="I9">
        <f>0.73+2.2+6.64+1.59</f>
        <v>11.16</v>
      </c>
      <c r="J9">
        <f>8.55+23.38+1192.75+16.63</f>
        <v>1241.3100000000002</v>
      </c>
      <c r="K9">
        <f>1.4+7.77+19.1+3.64</f>
        <v>31.910000000000004</v>
      </c>
      <c r="L9">
        <f>8.7+22.16+1832.44+28.99</f>
        <v>1892.29</v>
      </c>
      <c r="M9">
        <f>9.54+4.09+96.5+14.62</f>
        <v>124.75</v>
      </c>
      <c r="N9">
        <f>22.25+33.05+2874.07+68.64</f>
        <v>2998.01</v>
      </c>
      <c r="O9">
        <f>7.39+6.03+137.52+4.12</f>
        <v>155.06</v>
      </c>
      <c r="P9">
        <f>24.62+33.41+2941.98+29.95</f>
        <v>3029.96</v>
      </c>
      <c r="Q9">
        <f>4.38+5.4+76.43+1.67</f>
        <v>87.88000000000001</v>
      </c>
      <c r="R9">
        <f>12.28+35.71+3006.39+23.29</f>
        <v>3077.6699999999996</v>
      </c>
    </row>
    <row r="10" spans="2:18" x14ac:dyDescent="0.3">
      <c r="B10" t="s">
        <v>20</v>
      </c>
      <c r="C10">
        <f>0.03+0.15+2.79</f>
        <v>2.97</v>
      </c>
      <c r="D10">
        <f>126.41+5.5+18.58</f>
        <v>150.49</v>
      </c>
      <c r="E10">
        <f>0+0.03+4.05</f>
        <v>4.08</v>
      </c>
      <c r="F10">
        <f>194.27+9.37+24.27</f>
        <v>227.91000000000003</v>
      </c>
      <c r="G10">
        <f>0.04+0.1+1.73</f>
        <v>1.87</v>
      </c>
      <c r="H10">
        <f>138.68+12.36+21.87</f>
        <v>172.91000000000003</v>
      </c>
      <c r="I10">
        <f>0.58+6.54+2.46</f>
        <v>9.58</v>
      </c>
      <c r="J10">
        <f>119.84+8.28+20.79</f>
        <v>148.91</v>
      </c>
      <c r="K10">
        <f>0+6.61+4.58</f>
        <v>11.190000000000001</v>
      </c>
      <c r="L10">
        <f>207.37+21.08+32.9</f>
        <v>261.34999999999997</v>
      </c>
      <c r="M10">
        <f>2.71+18.7+6.53</f>
        <v>27.94</v>
      </c>
      <c r="N10">
        <f>288.37+24.86+30.05</f>
        <v>343.28000000000003</v>
      </c>
      <c r="O10">
        <f>2.26+32.55+9.16</f>
        <v>43.97</v>
      </c>
      <c r="P10">
        <f>414.14+21.28+48.71</f>
        <v>484.12999999999994</v>
      </c>
      <c r="Q10">
        <f>2.81+48.32+13.64</f>
        <v>64.77000000000001</v>
      </c>
      <c r="R10">
        <f>492.45+30.19+45.8</f>
        <v>568.43999999999994</v>
      </c>
    </row>
    <row r="11" spans="2:18" x14ac:dyDescent="0.3">
      <c r="B11" t="s">
        <v>21</v>
      </c>
      <c r="C11">
        <v>0</v>
      </c>
      <c r="D11">
        <v>3.55</v>
      </c>
      <c r="E11">
        <v>0.01</v>
      </c>
      <c r="F11">
        <v>3.79</v>
      </c>
      <c r="G11">
        <v>0.01</v>
      </c>
      <c r="H11">
        <v>0.31</v>
      </c>
      <c r="I11">
        <v>0</v>
      </c>
      <c r="J11">
        <v>0.01</v>
      </c>
      <c r="K11">
        <v>0</v>
      </c>
      <c r="L11">
        <v>0.01</v>
      </c>
      <c r="M11">
        <v>0.01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x14ac:dyDescent="0.3">
      <c r="B12" t="s">
        <v>22</v>
      </c>
      <c r="C12">
        <f>0+0.82+0.78</f>
        <v>1.6</v>
      </c>
      <c r="D12">
        <f>0+55.68+0.46</f>
        <v>56.14</v>
      </c>
      <c r="E12">
        <f>0.02+0.69+2.2</f>
        <v>2.91</v>
      </c>
      <c r="F12">
        <f>0+10.33+0.51</f>
        <v>10.84</v>
      </c>
      <c r="G12">
        <f>0+1.26+0.36</f>
        <v>1.62</v>
      </c>
      <c r="H12">
        <f>0+5.98+0.45</f>
        <v>6.4300000000000006</v>
      </c>
      <c r="I12">
        <f>0+13.53+0.05</f>
        <v>13.58</v>
      </c>
      <c r="J12">
        <f>0.09+6.92+0.46</f>
        <v>7.47</v>
      </c>
      <c r="K12">
        <f>0.07+1.25+0.26</f>
        <v>1.58</v>
      </c>
      <c r="L12">
        <f>0.22+7.62+0.94</f>
        <v>8.7799999999999994</v>
      </c>
      <c r="M12">
        <f>0+1.29+0.1</f>
        <v>1.3900000000000001</v>
      </c>
      <c r="N12">
        <f>0+51.68+1.25</f>
        <v>52.93</v>
      </c>
      <c r="O12">
        <f>0.04+0.5+0.32</f>
        <v>0.8600000000000001</v>
      </c>
      <c r="P12">
        <f>0+42.29+1.7</f>
        <v>43.99</v>
      </c>
      <c r="Q12">
        <f>0+0.22+0.31</f>
        <v>0.53</v>
      </c>
      <c r="R12">
        <f>0.04+18.44+0.8</f>
        <v>19.28</v>
      </c>
    </row>
    <row r="13" spans="2:18" x14ac:dyDescent="0.3">
      <c r="B13" t="s">
        <v>23</v>
      </c>
      <c r="C13">
        <f>0.36+9.61+63.86</f>
        <v>73.83</v>
      </c>
      <c r="D13">
        <f>0.61+48+220.44</f>
        <v>269.05</v>
      </c>
      <c r="E13">
        <f>0.01+9.97+73.57</f>
        <v>83.55</v>
      </c>
      <c r="F13">
        <f>0.6+53.49+273.3</f>
        <v>327.39</v>
      </c>
      <c r="G13">
        <f>0.01+9.67+68.43</f>
        <v>78.110000000000014</v>
      </c>
      <c r="H13">
        <f>0.62+53.44+227.13</f>
        <v>281.19</v>
      </c>
      <c r="I13">
        <f>0.01+52.86+55.37</f>
        <v>108.24</v>
      </c>
      <c r="J13">
        <f>0.64+52+207.45</f>
        <v>260.08999999999997</v>
      </c>
      <c r="K13">
        <f>0.13+71.71+91.47</f>
        <v>163.31</v>
      </c>
      <c r="L13">
        <f>0.11+71.49+329.47</f>
        <v>401.07000000000005</v>
      </c>
      <c r="M13">
        <f>0.07+90.65+93.92</f>
        <v>184.64</v>
      </c>
      <c r="N13">
        <f>0.63+88.96+390.45</f>
        <v>480.03999999999996</v>
      </c>
      <c r="O13">
        <f>0+82.17+70.2</f>
        <v>152.37</v>
      </c>
      <c r="P13">
        <f>8.17+98.32+312.31</f>
        <v>418.8</v>
      </c>
      <c r="Q13">
        <f>0+84.93+77.07</f>
        <v>162</v>
      </c>
      <c r="R13">
        <f>0.03+109.15+368.58</f>
        <v>477.76</v>
      </c>
    </row>
    <row r="14" spans="2:18" x14ac:dyDescent="0.3">
      <c r="B14" t="s">
        <v>24</v>
      </c>
      <c r="C14">
        <f>0.15+0.1</f>
        <v>0.25</v>
      </c>
      <c r="D14">
        <f>0.91+2.53</f>
        <v>3.44</v>
      </c>
      <c r="E14">
        <f>0.22+0.01</f>
        <v>0.23</v>
      </c>
      <c r="F14">
        <f>1.29+2.9</f>
        <v>4.1899999999999995</v>
      </c>
      <c r="G14">
        <f>0.07+0.03</f>
        <v>0.1</v>
      </c>
      <c r="H14">
        <f>0.74+3.32</f>
        <v>4.0599999999999996</v>
      </c>
      <c r="I14">
        <v>7.0000000000000007E-2</v>
      </c>
      <c r="J14">
        <f>1.06+3.42</f>
        <v>4.4800000000000004</v>
      </c>
      <c r="K14">
        <f>0.15+0.05</f>
        <v>0.2</v>
      </c>
      <c r="L14">
        <f>0.67+3.2</f>
        <v>3.87</v>
      </c>
      <c r="M14">
        <f>0.2+0.02</f>
        <v>0.22</v>
      </c>
      <c r="N14">
        <f>0.83+9.13</f>
        <v>9.9600000000000009</v>
      </c>
      <c r="O14">
        <f>0.21+0.04</f>
        <v>0.25</v>
      </c>
      <c r="P14">
        <f>1.23+5.04</f>
        <v>6.27</v>
      </c>
      <c r="Q14">
        <f>0.24+0.02</f>
        <v>0.26</v>
      </c>
      <c r="R14">
        <f>1.63+4.46</f>
        <v>6.09</v>
      </c>
    </row>
    <row r="15" spans="2:18" x14ac:dyDescent="0.3">
      <c r="B15" t="s">
        <v>25</v>
      </c>
      <c r="C15">
        <f>0+0.91+0.07</f>
        <v>0.98</v>
      </c>
      <c r="D15">
        <f>3.55+1.61+4.54</f>
        <v>9.6999999999999993</v>
      </c>
      <c r="E15">
        <f>0.01+1.2+0.08</f>
        <v>1.29</v>
      </c>
      <c r="F15">
        <f>3.79+2.01+5.56</f>
        <v>11.36</v>
      </c>
      <c r="G15">
        <f>0.01+0.57+0.11</f>
        <v>0.69</v>
      </c>
      <c r="H15">
        <f>0.31+1.18+9.54</f>
        <v>11.03</v>
      </c>
      <c r="I15">
        <f>0+0.75+0.23</f>
        <v>0.98</v>
      </c>
      <c r="J15">
        <f>0.01+1.25+6.5</f>
        <v>7.76</v>
      </c>
      <c r="K15">
        <f>0+1.08+0.39</f>
        <v>1.4700000000000002</v>
      </c>
      <c r="L15">
        <f>0.01+1.33+7.81</f>
        <v>9.15</v>
      </c>
      <c r="M15">
        <f>0.01+2.14+0.78</f>
        <v>2.9299999999999997</v>
      </c>
      <c r="N15">
        <f>0+2.5+9.56</f>
        <v>12.06</v>
      </c>
      <c r="O15">
        <f>0+0.65+2.45</f>
        <v>3.1</v>
      </c>
      <c r="P15">
        <f>0+1.62+10.47</f>
        <v>12.09</v>
      </c>
      <c r="Q15">
        <f>0+1.28+0.78</f>
        <v>2.06</v>
      </c>
      <c r="R15">
        <f>0+2.69+14.95</f>
        <v>17.64</v>
      </c>
    </row>
    <row r="16" spans="2:18" x14ac:dyDescent="0.3">
      <c r="B16" t="s">
        <v>26</v>
      </c>
      <c r="C16">
        <v>0</v>
      </c>
      <c r="D16">
        <v>0.21</v>
      </c>
      <c r="E16">
        <v>0.01</v>
      </c>
      <c r="F16">
        <v>0.45</v>
      </c>
      <c r="G16">
        <v>0</v>
      </c>
      <c r="H16">
        <v>0.33</v>
      </c>
      <c r="I16">
        <v>0</v>
      </c>
      <c r="J16">
        <v>0.28999999999999998</v>
      </c>
      <c r="K16">
        <v>0</v>
      </c>
      <c r="L16">
        <v>0.25</v>
      </c>
      <c r="M16">
        <v>0</v>
      </c>
      <c r="N16">
        <v>0.26</v>
      </c>
      <c r="O16">
        <v>0</v>
      </c>
      <c r="P16">
        <v>0.55000000000000004</v>
      </c>
      <c r="Q16">
        <v>0.26</v>
      </c>
      <c r="R16">
        <v>0.54</v>
      </c>
    </row>
    <row r="17" spans="2:18" x14ac:dyDescent="0.3">
      <c r="B17" t="s">
        <v>27</v>
      </c>
      <c r="C17">
        <f>0+0.02+6.76+4.3</f>
        <v>11.079999999999998</v>
      </c>
      <c r="D17">
        <f>0.89+0.1+237.43+5.44</f>
        <v>243.86</v>
      </c>
      <c r="E17">
        <f>0+0.01+5.73+4.08</f>
        <v>9.82</v>
      </c>
      <c r="F17">
        <f>0.02+0.25+217.37+6.06</f>
        <v>223.70000000000002</v>
      </c>
      <c r="G17">
        <f>0+0.01+7.35+2.45</f>
        <v>9.8099999999999987</v>
      </c>
      <c r="H17">
        <f>0+0.1+206.73+5.26</f>
        <v>212.08999999999997</v>
      </c>
      <c r="I17">
        <f>0+0.01+6.71+3.21</f>
        <v>9.93</v>
      </c>
      <c r="J17">
        <f>0.01+0.22+193.03+4.66</f>
        <v>197.92</v>
      </c>
      <c r="K17">
        <f>0+0.1+12.95+6.27</f>
        <v>19.32</v>
      </c>
      <c r="L17">
        <f>0+0.13+368.88+10.85</f>
        <v>379.86</v>
      </c>
      <c r="M17">
        <f>0+0.01+6.79+4.61</f>
        <v>11.41</v>
      </c>
      <c r="N17">
        <f>0+2.38+387.38+10.64</f>
        <v>400.4</v>
      </c>
      <c r="O17">
        <f>0+1.27+11.09+4.93</f>
        <v>17.29</v>
      </c>
      <c r="P17">
        <f>0+3.28+321.89+13.96</f>
        <v>339.12999999999994</v>
      </c>
      <c r="Q17">
        <f>0+0.05+14.01+8.8</f>
        <v>22.86</v>
      </c>
      <c r="R17">
        <f>0+4.2+470.23+19.9</f>
        <v>494.33</v>
      </c>
    </row>
    <row r="18" spans="2:18" x14ac:dyDescent="0.3">
      <c r="B18" t="s">
        <v>28</v>
      </c>
      <c r="C18">
        <f>93.23+45.72+5.76</f>
        <v>144.70999999999998</v>
      </c>
      <c r="D18">
        <f>51.14+39.12+69.3</f>
        <v>159.56</v>
      </c>
      <c r="E18">
        <f>94.73+46.36+3.92</f>
        <v>145.01</v>
      </c>
      <c r="F18">
        <f>42.93+41.56+100.1</f>
        <v>184.59</v>
      </c>
      <c r="G18">
        <f>70.62+53.24+7.55</f>
        <v>131.41000000000003</v>
      </c>
      <c r="H18">
        <f>56.21+44.72+105.31</f>
        <v>206.24</v>
      </c>
      <c r="I18">
        <f>72.13+40.27+5.95</f>
        <v>118.35000000000001</v>
      </c>
      <c r="J18">
        <f>46.4+34.88+73.9</f>
        <v>155.18</v>
      </c>
      <c r="K18">
        <f>82.66+71.4+5.18</f>
        <v>159.24</v>
      </c>
      <c r="L18">
        <f>71.16+49.55+107.47</f>
        <v>228.18</v>
      </c>
      <c r="M18">
        <f>91.24+74.3+7.14</f>
        <v>172.67999999999998</v>
      </c>
      <c r="N18">
        <f>61.77+68.57+129.67</f>
        <v>260.01</v>
      </c>
      <c r="O18">
        <f>95.58+45.94+7.56</f>
        <v>149.07999999999998</v>
      </c>
      <c r="P18">
        <f>77.48+58.76+134.61</f>
        <v>270.85000000000002</v>
      </c>
      <c r="Q18">
        <f>59.98+69.83+10.01</f>
        <v>139.82</v>
      </c>
      <c r="R18">
        <f>69.4+60.12+145.25</f>
        <v>274.77</v>
      </c>
    </row>
    <row r="19" spans="2:18" x14ac:dyDescent="0.3">
      <c r="B19" t="s">
        <v>29</v>
      </c>
      <c r="C19">
        <f>0.46+22.82</f>
        <v>23.28</v>
      </c>
      <c r="D19">
        <f>0.37+26.67</f>
        <v>27.040000000000003</v>
      </c>
      <c r="E19">
        <f>0.65+18.04</f>
        <v>18.689999999999998</v>
      </c>
      <c r="F19">
        <f>0.92+24.78</f>
        <v>25.700000000000003</v>
      </c>
      <c r="G19">
        <f>0+12.27</f>
        <v>12.27</v>
      </c>
      <c r="H19">
        <f>0.99+20.74</f>
        <v>21.729999999999997</v>
      </c>
      <c r="I19">
        <f>0+11.31</f>
        <v>11.31</v>
      </c>
      <c r="J19">
        <f>0.12+19.62</f>
        <v>19.740000000000002</v>
      </c>
      <c r="K19">
        <f>0.09+34.86</f>
        <v>34.950000000000003</v>
      </c>
      <c r="L19">
        <f>0.2+24.22</f>
        <v>24.419999999999998</v>
      </c>
      <c r="M19">
        <f>0+34.4</f>
        <v>34.4</v>
      </c>
      <c r="N19">
        <f>1.75+30.82</f>
        <v>32.57</v>
      </c>
      <c r="O19">
        <f>0+27.8</f>
        <v>27.8</v>
      </c>
      <c r="P19">
        <f>0.31+40.63</f>
        <v>40.940000000000005</v>
      </c>
      <c r="Q19">
        <f>0+47</f>
        <v>47</v>
      </c>
      <c r="R19">
        <f>0.14+45.78</f>
        <v>45.92</v>
      </c>
    </row>
    <row r="20" spans="2:18" x14ac:dyDescent="0.3">
      <c r="B20" t="s">
        <v>30</v>
      </c>
      <c r="C20">
        <v>0.67</v>
      </c>
      <c r="D20">
        <v>27.87</v>
      </c>
      <c r="E20">
        <v>0.69</v>
      </c>
      <c r="F20">
        <v>46.84</v>
      </c>
      <c r="G20">
        <v>1.67</v>
      </c>
      <c r="H20">
        <v>17.46</v>
      </c>
      <c r="I20">
        <v>0.7</v>
      </c>
      <c r="J20">
        <v>10.24</v>
      </c>
      <c r="K20">
        <v>0.89</v>
      </c>
      <c r="L20">
        <v>21.4</v>
      </c>
      <c r="M20">
        <v>0.45</v>
      </c>
      <c r="N20">
        <v>24</v>
      </c>
      <c r="O20">
        <v>0.63</v>
      </c>
      <c r="P20">
        <v>18.62</v>
      </c>
      <c r="Q20">
        <v>0.3</v>
      </c>
      <c r="R20">
        <v>27.48</v>
      </c>
    </row>
    <row r="21" spans="2:18" x14ac:dyDescent="0.3">
      <c r="B21" t="s">
        <v>31</v>
      </c>
      <c r="C21">
        <f>0.48+0.52+1.43</f>
        <v>2.4299999999999997</v>
      </c>
      <c r="D21">
        <f>96.23+1.01+17.36</f>
        <v>114.60000000000001</v>
      </c>
      <c r="E21">
        <f>0.06+0.26+0.92</f>
        <v>1.24</v>
      </c>
      <c r="F21">
        <f>115.77+1.55+23.52</f>
        <v>140.84</v>
      </c>
      <c r="G21">
        <f>0+0.31+0.58</f>
        <v>0.8899999999999999</v>
      </c>
      <c r="H21">
        <f>85.76+1.39+18.55</f>
        <v>105.7</v>
      </c>
      <c r="I21">
        <f>0+0.33+1.2</f>
        <v>1.53</v>
      </c>
      <c r="J21">
        <f>94.71+0.31+18.56</f>
        <v>113.58</v>
      </c>
      <c r="K21">
        <f>0+0.34+0.81</f>
        <v>1.1500000000000001</v>
      </c>
      <c r="L21">
        <f>150.89+2.3+29.83</f>
        <v>183.01999999999998</v>
      </c>
      <c r="M21">
        <f>0.19+0.25+0.49</f>
        <v>0.92999999999999994</v>
      </c>
      <c r="N21">
        <f>187.68+1.74+34.25</f>
        <v>223.67000000000002</v>
      </c>
      <c r="O21">
        <f>0.6+0.33+0.16</f>
        <v>1.0899999999999999</v>
      </c>
      <c r="P21">
        <f>168.39+1.15+34.66</f>
        <v>204.2</v>
      </c>
      <c r="Q21">
        <f>0+0.22+0.1</f>
        <v>0.32</v>
      </c>
      <c r="R21">
        <f>178.98+1.51+41.31</f>
        <v>221.79999999999998</v>
      </c>
    </row>
    <row r="22" spans="2:18" x14ac:dyDescent="0.3">
      <c r="B22" t="s">
        <v>32</v>
      </c>
      <c r="C22">
        <v>5.8</v>
      </c>
      <c r="D22">
        <v>9.09</v>
      </c>
      <c r="E22">
        <v>0.86</v>
      </c>
      <c r="F22">
        <v>13.49</v>
      </c>
      <c r="G22">
        <v>0.66</v>
      </c>
      <c r="H22">
        <v>10</v>
      </c>
      <c r="I22">
        <v>0.59</v>
      </c>
      <c r="J22">
        <v>9.1999999999999993</v>
      </c>
      <c r="K22">
        <v>1.1000000000000001</v>
      </c>
      <c r="L22">
        <v>9.5500000000000007</v>
      </c>
      <c r="M22">
        <v>3.61</v>
      </c>
      <c r="N22">
        <v>8.5500000000000007</v>
      </c>
      <c r="O22">
        <v>3.63</v>
      </c>
      <c r="P22">
        <v>10.73</v>
      </c>
      <c r="Q22">
        <v>1.89</v>
      </c>
      <c r="R22">
        <v>12.85</v>
      </c>
    </row>
    <row r="23" spans="2:18" x14ac:dyDescent="0.3">
      <c r="B23" t="s">
        <v>33</v>
      </c>
      <c r="C23">
        <f>0.31+0.22</f>
        <v>0.53</v>
      </c>
      <c r="D23">
        <f>12.41+1.62</f>
        <v>14.030000000000001</v>
      </c>
      <c r="E23">
        <f>0.29+0.13</f>
        <v>0.42</v>
      </c>
      <c r="F23">
        <f>24.88+3.08</f>
        <v>27.96</v>
      </c>
      <c r="G23">
        <f>0.51+0.21</f>
        <v>0.72</v>
      </c>
      <c r="H23">
        <f>25.29+2.85</f>
        <v>28.14</v>
      </c>
      <c r="I23">
        <f>0.34+0.14</f>
        <v>0.48000000000000004</v>
      </c>
      <c r="J23">
        <f>18.06+2.76</f>
        <v>20.82</v>
      </c>
      <c r="K23">
        <f>0.31+0.12</f>
        <v>0.43</v>
      </c>
      <c r="L23">
        <f>16.4+3.26</f>
        <v>19.659999999999997</v>
      </c>
      <c r="M23">
        <f>0+0.44</f>
        <v>0.44</v>
      </c>
      <c r="N23">
        <f>0+2.87</f>
        <v>2.87</v>
      </c>
      <c r="O23">
        <f>0+0.56</f>
        <v>0.56000000000000005</v>
      </c>
      <c r="P23">
        <f>0+6.24</f>
        <v>6.24</v>
      </c>
      <c r="Q23">
        <f>0+0.3</f>
        <v>0.3</v>
      </c>
      <c r="R23">
        <f>0+9.71</f>
        <v>9.7100000000000009</v>
      </c>
    </row>
    <row r="24" spans="2:18" x14ac:dyDescent="0.3">
      <c r="B24" t="s">
        <v>34</v>
      </c>
      <c r="C24">
        <f>0.2+2.69</f>
        <v>2.89</v>
      </c>
      <c r="D24">
        <f>0.78+0.02</f>
        <v>0.8</v>
      </c>
      <c r="E24">
        <f>0.32+2.98</f>
        <v>3.3</v>
      </c>
      <c r="F24">
        <f>0.96+0</f>
        <v>0.96</v>
      </c>
      <c r="G24">
        <f>0.46+3.26</f>
        <v>3.7199999999999998</v>
      </c>
      <c r="H24">
        <f>0.3+0</f>
        <v>0.3</v>
      </c>
      <c r="I24">
        <f>0.58+3.92</f>
        <v>4.5</v>
      </c>
      <c r="J24">
        <f>0.66+0</f>
        <v>0.66</v>
      </c>
      <c r="K24">
        <f>1.01+10.01</f>
        <v>11.02</v>
      </c>
      <c r="L24">
        <f>0.47+0</f>
        <v>0.47</v>
      </c>
      <c r="M24">
        <f>1.36+11.01</f>
        <v>12.37</v>
      </c>
      <c r="N24">
        <f>0.09+0</f>
        <v>0.09</v>
      </c>
      <c r="O24">
        <f>1.35+7.53</f>
        <v>8.8800000000000008</v>
      </c>
      <c r="P24">
        <f>0.12+0.04</f>
        <v>0.16</v>
      </c>
      <c r="Q24">
        <f>0.89+7.33</f>
        <v>8.2200000000000006</v>
      </c>
      <c r="R24">
        <f>0.49+0</f>
        <v>0.49</v>
      </c>
    </row>
    <row r="25" spans="2:18" x14ac:dyDescent="0.3">
      <c r="B25" t="s">
        <v>35</v>
      </c>
      <c r="C25">
        <v>0.7</v>
      </c>
      <c r="D25">
        <v>12.25</v>
      </c>
      <c r="E25">
        <v>2.6</v>
      </c>
      <c r="F25">
        <v>15.17</v>
      </c>
      <c r="G25">
        <v>4.0199999999999996</v>
      </c>
      <c r="H25">
        <v>9.34</v>
      </c>
      <c r="I25">
        <v>3.24</v>
      </c>
      <c r="J25">
        <v>10.77</v>
      </c>
      <c r="K25">
        <v>2.73</v>
      </c>
      <c r="L25">
        <v>15.66</v>
      </c>
      <c r="M25">
        <v>3.79</v>
      </c>
      <c r="N25">
        <v>32.880000000000003</v>
      </c>
      <c r="O25">
        <v>1.8</v>
      </c>
      <c r="P25">
        <v>30.73</v>
      </c>
      <c r="Q25">
        <v>2.41</v>
      </c>
      <c r="R25">
        <v>22.32</v>
      </c>
    </row>
    <row r="26" spans="2:18" x14ac:dyDescent="0.3">
      <c r="B26" t="s">
        <v>36</v>
      </c>
      <c r="C26">
        <f>1.83+16.5</f>
        <v>18.329999999999998</v>
      </c>
      <c r="D26">
        <f>9.21+7.8</f>
        <v>17.010000000000002</v>
      </c>
      <c r="E26">
        <f>1.77+20.62</f>
        <v>22.39</v>
      </c>
      <c r="F26">
        <f>8.97+9.54</f>
        <v>18.509999999999998</v>
      </c>
      <c r="G26">
        <f>0+18.4</f>
        <v>18.399999999999999</v>
      </c>
      <c r="H26">
        <f>11.94+5.25</f>
        <v>17.189999999999998</v>
      </c>
      <c r="I26">
        <f>0+26.91</f>
        <v>26.91</v>
      </c>
      <c r="J26">
        <f>14.67+8.85</f>
        <v>23.52</v>
      </c>
      <c r="K26">
        <f>0.08+57.01</f>
        <v>57.089999999999996</v>
      </c>
      <c r="L26">
        <f>15.31+8.01</f>
        <v>23.32</v>
      </c>
      <c r="M26">
        <f>0+67.82</f>
        <v>67.819999999999993</v>
      </c>
      <c r="N26">
        <f>15.23+5.78</f>
        <v>21.01</v>
      </c>
      <c r="O26">
        <f>0.39+47.86</f>
        <v>48.25</v>
      </c>
      <c r="P26">
        <f>12.92+5.64</f>
        <v>18.559999999999999</v>
      </c>
      <c r="Q26">
        <f>0+36.03</f>
        <v>36.03</v>
      </c>
      <c r="R26">
        <f>15.87+5.25</f>
        <v>21.119999999999997</v>
      </c>
    </row>
    <row r="27" spans="2:18" x14ac:dyDescent="0.3">
      <c r="B27" t="s">
        <v>37</v>
      </c>
      <c r="C27">
        <v>3481.36</v>
      </c>
      <c r="D27">
        <v>4575.12</v>
      </c>
      <c r="E27">
        <v>1067.3499999999999</v>
      </c>
      <c r="F27">
        <v>5346.72</v>
      </c>
      <c r="G27">
        <v>919.05</v>
      </c>
      <c r="H27">
        <v>5147.09</v>
      </c>
      <c r="I27">
        <v>1444.11</v>
      </c>
      <c r="J27">
        <v>4665.3599999999997</v>
      </c>
      <c r="K27">
        <v>2429.56</v>
      </c>
      <c r="L27">
        <v>7114.07</v>
      </c>
      <c r="M27">
        <v>1848.54</v>
      </c>
      <c r="N27">
        <v>7688.41</v>
      </c>
      <c r="O27">
        <v>2526.23</v>
      </c>
      <c r="P27">
        <v>9294.75</v>
      </c>
      <c r="Q27">
        <v>2320.58</v>
      </c>
      <c r="R27">
        <v>10806.22</v>
      </c>
    </row>
  </sheetData>
  <mergeCells count="8">
    <mergeCell ref="O1:P1"/>
    <mergeCell ref="Q1:R1"/>
    <mergeCell ref="C1:D1"/>
    <mergeCell ref="E1:F1"/>
    <mergeCell ref="G1:H1"/>
    <mergeCell ref="I1:J1"/>
    <mergeCell ref="K1:L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ARKAJIT</dc:creator>
  <cp:keywords/>
  <dc:description/>
  <cp:lastModifiedBy>Soumyadeep Mal</cp:lastModifiedBy>
  <cp:revision/>
  <dcterms:created xsi:type="dcterms:W3CDTF">2025-12-02T12:11:40Z</dcterms:created>
  <dcterms:modified xsi:type="dcterms:W3CDTF">2025-12-25T12:56:10Z</dcterms:modified>
  <cp:category/>
  <cp:contentStatus/>
</cp:coreProperties>
</file>